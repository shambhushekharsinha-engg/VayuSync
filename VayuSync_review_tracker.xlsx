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on Items" sheetId="1" state="visible" r:id="rId3"/>
    <sheet name="Cone Coverage" sheetId="2" state="visible" r:id="rId4"/>
    <sheet name="Verified Chang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<sst xmlns="http://schemas.openxmlformats.org/spreadsheetml/2006/main" count="111" uniqueCount="96">
  <si>
    <t xml:space="preserve">VayuSync review: prioritized action items</t>
  </si>
  <si>
    <t xml:space="preserve">Source: review of repo commit 65efe8a (Oct 10, 2026). Yellow cells (Owner, Status) are for you to edit.</t>
  </si>
  <si>
    <t xml:space="preserve">Total items</t>
  </si>
  <si>
    <t xml:space="preserve">Open</t>
  </si>
  <si>
    <t xml:space="preserve">In progress</t>
  </si>
  <si>
    <t xml:space="preserve">Done</t>
  </si>
  <si>
    <t xml:space="preserve">Rank</t>
  </si>
  <si>
    <t xml:space="preserve">Area</t>
  </si>
  <si>
    <t xml:space="preserve">Finding</t>
  </si>
  <si>
    <t xml:space="preserve">Evidence</t>
  </si>
  <si>
    <t xml:space="preserve">Recommended action</t>
  </si>
  <si>
    <t xml:space="preserve">Verified how</t>
  </si>
  <si>
    <t xml:space="preserve">Owner</t>
  </si>
  <si>
    <t xml:space="preserve">Status</t>
  </si>
  <si>
    <t xml:space="preserve">Demo behaviour</t>
  </si>
  <si>
    <t xml:space="preserve">Flagship /simulate demo returns no alerts: all three simulator presets send smoke toward 120-124 deg, but Delhi is at about 150-153 deg from Ludhiana. With a 15 deg half-angle the cone misses every institution, even the 12 h cone.</t>
  </si>
  <si>
    <t xml:space="preserve">Ran the three presets through the fixed geo_utils: 0 of 8 institutions in the cone for 6 h and 12 h (see 'Cone Coverage' sheet). Your own diagnostics also saw an empty alert array in 234 ms.</t>
  </si>
  <si>
    <t xml:space="preserve">Make a Haryana hotspot (Karnal/Panipat, about 100-120 km from Delhi) the headline demo with a NNW wind (~350 deg). Keep Punjab as the extended-range story with a NNW wind (~330 deg). Make the evaluator check the 12 h cone too (it only reads cone_geojson_6h). Check what a judge actually sees after clicking Simulate.</t>
  </si>
  <si>
    <t xml:space="preserve">Reproduced locally with repo code</t>
  </si>
  <si>
    <t xml:space="preserve">Bedrock / AI claim</t>
  </si>
  <si>
    <t xml:space="preserve">Bedrock is not live right now: AccessDenied ('account being verified'), so hosted advice is rule-based. README row 77 still says 'Live Bedrock Invocation'.</t>
  </si>
  <si>
    <t xml:space="preserve">AccessDeniedException reported from CloudWatch (your report); advisory_source field exists in evaluator code; README line 77 unchanged.</t>
  </si>
  <si>
    <t xml:space="preserve">Reword the README until a real /simulate record shows advisory_source = 'bedrock'. When verification completes, confirm model access is enabled and Claude 3 Haiku is still available in ap-south-1.</t>
  </si>
  <si>
    <t xml:space="preserve">Code + README read; AccessDenied taken from your report</t>
  </si>
  <si>
    <t xml:space="preserve">Frontend honesty</t>
  </si>
  <si>
    <t xml:space="preserve">The UI can show mock numbers next to live ones: api.ts fills missing dashboard fields from MOCK_DASHBOARD using '??' (lead time, latency, cost, alert counts).</t>
  </si>
  <si>
    <t xml:space="preserve">grep of frontend/src/utils/api.ts only; not tested in a browser.</t>
  </si>
  <si>
    <t xml:space="preserve">Show a dash or a visible 'demo data' badge for any field that falls back to mock values.</t>
  </si>
  <si>
    <t xml:space="preserve">grep only (not browser-tested)</t>
  </si>
  <si>
    <t xml:space="preserve">CI / testing</t>
  </si>
  <si>
    <t xml:space="preserve">A missing 'import math' in the evaluator (introduced in cbef7bd) shipped in Lambda Version 1 and was hidden by a generic exception handler. The 34 tests did not catch it.</t>
  </si>
  <si>
    <t xml:space="preserve">Reported in your diagnostics; import now present at line 34 of evaluator_engine/handler.py.</t>
  </si>
  <si>
    <t xml:space="preserve">Add a smoke test that imports every Lambda handler with boto3 stubbed, so a missing import fails CI.</t>
  </si>
  <si>
    <t xml:space="preserve">Code read</t>
  </si>
  <si>
    <t xml:space="preserve">Validation</t>
  </si>
  <si>
    <t xml:space="preserve">No real back-test has been run yet. The self-test uses synthetic data and is not validation.</t>
  </si>
  <si>
    <t xml:space="preserve">backend/scripts/backtest.py self-test passes; sandbox cannot reach FIRMS, Open-Meteo or CPCB.</t>
  </si>
  <si>
    <t xml:space="preserve">Run backtest.py on your machine for one real event, commit backtest_results.csv, and share the raw JSON output for a sanity check.</t>
  </si>
  <si>
    <t xml:space="preserve">Self-test run; real run not possible here</t>
  </si>
  <si>
    <t xml:space="preserve">Do the simulator presets reach Delhi? (Ludhiana hotspot)</t>
  </si>
  <si>
    <t xml:space="preserve">Inputs (blue = hardcoded; edit to test other targets)</t>
  </si>
  <si>
    <t xml:space="preserve">Cone half-angle (deg)</t>
  </si>
  <si>
    <t xml:space="preserve">geo_utils.py DEFAULT_CONE_HALF_ANGLE_DEG</t>
  </si>
  <si>
    <t xml:space="preserve">Bearing Ludhiana to Anand Vihar (deg)</t>
  </si>
  <si>
    <t xml:space="preserve">Computed with the haversine bearing formula; Ludhiana (30.9, 75.85), station (28.6476, 77.3158, approximate). AIIMS Delhi gives 152.8</t>
  </si>
  <si>
    <t xml:space="preserve">Distance Ludhiana to Anand Vihar (km)</t>
  </si>
  <si>
    <t xml:space="preserve">Computed with geo_utils.haversine_distance</t>
  </si>
  <si>
    <t xml:space="preserve">Preset results</t>
  </si>
  <si>
    <t xml:space="preserve">Preset</t>
  </si>
  <si>
    <t xml:space="preserve">Smoke heads toward (deg)</t>
  </si>
  <si>
    <t xml:space="preserve">6 h reach (km)</t>
  </si>
  <si>
    <t xml:space="preserve">12 h reach (km)</t>
  </si>
  <si>
    <t xml:space="preserve">Institutions in cone (of 8)</t>
  </si>
  <si>
    <t xml:space="preserve">Miss angle (deg)</t>
  </si>
  <si>
    <t xml:space="preserve">Preset wind blows from (deg)</t>
  </si>
  <si>
    <t xml:space="preserve">Wind would need to blow from (deg)</t>
  </si>
  <si>
    <t xml:space="preserve">Within cone angle?</t>
  </si>
  <si>
    <t xml:space="preserve">Reaches Delhi at 6 h?</t>
  </si>
  <si>
    <t xml:space="preserve">Reaches Delhi at 12 h?</t>
  </si>
  <si>
    <t xml:space="preserve">Covers target at 12 h?</t>
  </si>
  <si>
    <t xml:space="preserve">worst_case</t>
  </si>
  <si>
    <t xml:space="preserve">moderate</t>
  </si>
  <si>
    <t xml:space="preserve">light</t>
  </si>
  <si>
    <t xml:space="preserve">Notes</t>
  </si>
  <si>
    <t xml:space="preserve">Reach and bearing values were produced by running the simulator presets (u, v from simulate_trigger/handler.py) through the fixed calculate_trajectory_cone at commit 65efe8a.</t>
  </si>
  <si>
    <t xml:space="preserve">Assumption: fire power set to the middle of each preset's range (worst_case 1,250 MW; moderate 950 MW; light 600 MW), which affects reach slightly through the buoyancy factor.</t>
  </si>
  <si>
    <t xml:space="preserve">'Institutions in cone' is the count from the script run against the 8 mock institutions in mock_data.py; it is not recalculated here.</t>
  </si>
  <si>
    <t xml:space="preserve">Miss angle is the smaller angle between the preset's bearing and the bearing to Delhi; a target is inside the cone only if this is at most the half-angle AND the cone reaches its distance.</t>
  </si>
  <si>
    <t xml:space="preserve">Demo wind direction in meteorological terms is where the wind blows FROM; smoke heads toward the opposite direction (add 180).</t>
  </si>
  <si>
    <t xml:space="preserve">What I checked in commit 65efe8a</t>
  </si>
  <si>
    <t xml:space="preserve">Item</t>
  </si>
  <si>
    <t xml:space="preserve">Result</t>
  </si>
  <si>
    <t xml:space="preserve">Detail</t>
  </si>
  <si>
    <t xml:space="preserve">import math in evaluator_engine/handler.py</t>
  </si>
  <si>
    <t xml:space="preserve">Confirmed</t>
  </si>
  <si>
    <t xml:space="preserve">Present at line 34.</t>
  </si>
  <si>
    <t xml:space="preserve">advisory_source field (bedrock / rule_fallback)</t>
  </si>
  <si>
    <t xml:space="preserve">Set in the evaluator; bedrock_model is 'rule_fallback' unless Bedrock actually answered.</t>
  </si>
  <si>
    <t xml:space="preserve">Unit tests (test_pipeline.py)</t>
  </si>
  <si>
    <t xml:space="preserve">34 tests run, 2 skipped, 0 failures in my sandbox.</t>
  </si>
  <si>
    <t xml:space="preserve">backtest.py self-test</t>
  </si>
  <si>
    <t xml:space="preserve">Passes, including the NW-wind bearing check (135 deg). Synthetic data, not validation.</t>
  </si>
  <si>
    <t xml:space="preserve">geo_utils sign fix across all six copies</t>
  </si>
  <si>
    <t xml:space="preserve">All use atan2(u_wind, v_wind) as of cbef7bd.</t>
  </si>
  <si>
    <t xml:space="preserve">README link to backtest.py</t>
  </si>
  <si>
    <t xml:space="preserve">Now a relative path.</t>
  </si>
  <si>
    <t xml:space="preserve">README row 77 'Live Bedrock Invocation'</t>
  </si>
  <si>
    <t xml:space="preserve">Needs change</t>
  </si>
  <si>
    <t xml:space="preserve">Still says live; Bedrock was AccessDenied in your diagnostics.</t>
  </si>
  <si>
    <t xml:space="preserve">API Gateway throttling (5 req/s, burst 10)</t>
  </si>
  <si>
    <t xml:space="preserve">Not verified</t>
  </si>
  <si>
    <t xml:space="preserve">I cannot see your AWS account settings.</t>
  </si>
  <si>
    <t xml:space="preserve">Lambda redeployments and live /simulate calls</t>
  </si>
  <si>
    <t xml:space="preserve">I cannot reach your AWS account; figures come from your report.</t>
  </si>
  <si>
    <t xml:space="preserve">Latency figures (1,127-2,400 ms; 234 ms)</t>
  </si>
  <si>
    <t xml:space="preserve">Need a CloudWatch Logs Insights query with N and p95.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</si>
</sst>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52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COUNTA(A9:A13)</f>
        <v>5</v>
      </c>
    </row>
    <row r="5" customFormat="false" ht="15" hidden="false" customHeight="false" outlineLevel="0" collapsed="false">
      <c r="A5" s="3" t="s">
        <v>3</v>
      </c>
      <c r="B5" s="4" t="n">
        <f aca="false">COUNTIF(H9:H13,"Open")</f>
        <v>5</v>
      </c>
    </row>
    <row r="6" customFormat="false" ht="15" hidden="false" customHeight="false" outlineLevel="0" collapsed="false">
      <c r="A6" s="3" t="s">
        <v>4</v>
      </c>
      <c r="B6" s="4" t="n">
        <f aca="false">COUNTIF(H9:H13,"In progress")</f>
        <v>0</v>
      </c>
    </row>
    <row r="7" customFormat="false" ht="15" hidden="false" customHeight="false" outlineLevel="0" collapsed="false">
      <c r="A7" s="3" t="s">
        <v>5</v>
      </c>
      <c r="B7" s="4" t="n">
        <f aca="false">COUNTIF(H9:H13,"Done")</f>
        <v>0</v>
      </c>
    </row>
    <row r="8" customFormat="false" ht="30" hidden="false" customHeight="true" outlineLevel="0" collapsed="false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</row>
    <row r="9" customFormat="false" ht="150" hidden="false" customHeight="true" outlineLevel="0" collapsed="false">
      <c r="A9" s="6" t="n">
        <v>1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8"/>
      <c r="H9" s="8" t="s">
        <v>3</v>
      </c>
    </row>
    <row r="10" customFormat="false" ht="150" hidden="false" customHeight="true" outlineLevel="0" collapsed="false">
      <c r="A10" s="6" t="n">
        <v>2</v>
      </c>
      <c r="B10" s="7" t="s">
        <v>19</v>
      </c>
      <c r="C10" s="7" t="s">
        <v>20</v>
      </c>
      <c r="D10" s="7" t="s">
        <v>21</v>
      </c>
      <c r="E10" s="7" t="s">
        <v>22</v>
      </c>
      <c r="F10" s="7" t="s">
        <v>23</v>
      </c>
      <c r="G10" s="8"/>
      <c r="H10" s="8" t="s">
        <v>3</v>
      </c>
    </row>
    <row r="11" customFormat="false" ht="150" hidden="false" customHeight="true" outlineLevel="0" collapsed="false">
      <c r="A11" s="6" t="n">
        <v>3</v>
      </c>
      <c r="B11" s="7" t="s">
        <v>24</v>
      </c>
      <c r="C11" s="7" t="s">
        <v>25</v>
      </c>
      <c r="D11" s="7" t="s">
        <v>26</v>
      </c>
      <c r="E11" s="7" t="s">
        <v>27</v>
      </c>
      <c r="F11" s="7" t="s">
        <v>28</v>
      </c>
      <c r="G11" s="8"/>
      <c r="H11" s="8" t="s">
        <v>3</v>
      </c>
    </row>
    <row r="12" customFormat="false" ht="150" hidden="false" customHeight="true" outlineLevel="0" collapsed="false">
      <c r="A12" s="6" t="n">
        <v>4</v>
      </c>
      <c r="B12" s="7" t="s">
        <v>29</v>
      </c>
      <c r="C12" s="7" t="s">
        <v>30</v>
      </c>
      <c r="D12" s="7" t="s">
        <v>31</v>
      </c>
      <c r="E12" s="7" t="s">
        <v>32</v>
      </c>
      <c r="F12" s="7" t="s">
        <v>33</v>
      </c>
      <c r="G12" s="8"/>
      <c r="H12" s="8" t="s">
        <v>3</v>
      </c>
    </row>
    <row r="13" customFormat="false" ht="150" hidden="false" customHeight="true" outlineLevel="0" collapsed="false">
      <c r="A13" s="6" t="n">
        <v>5</v>
      </c>
      <c r="B13" s="7" t="s">
        <v>34</v>
      </c>
      <c r="C13" s="7" t="s">
        <v>35</v>
      </c>
      <c r="D13" s="7" t="s">
        <v>36</v>
      </c>
      <c r="E13" s="7" t="s">
        <v>37</v>
      </c>
      <c r="F13" s="7" t="s">
        <v>38</v>
      </c>
      <c r="G13" s="8"/>
      <c r="H13" s="8" t="s">
        <v>3</v>
      </c>
    </row>
  </sheetData>
  <conditionalFormatting sqref="H9:H13">
    <cfRule type="cellIs" priority="2" operator="equal" aboveAverage="0" equalAverage="0" bottom="0" percent="0" rank="0" text="" dxfId="0">
      <formula>"Done"</formula>
    </cfRule>
  </conditionalFormatting>
  <dataValidations count="1">
    <dataValidation allowBlank="false" errorStyle="stop" operator="between" showDropDown="false" showErrorMessage="false" showInputMessage="false" sqref="H9:H13" type="list">
      <formula1>"Open,In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2" min="2" style="0" width="15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A3" s="3" t="s">
        <v>40</v>
      </c>
    </row>
    <row r="4" customFormat="false" ht="15" hidden="false" customHeight="false" outlineLevel="0" collapsed="false">
      <c r="A4" s="2" t="s">
        <v>41</v>
      </c>
      <c r="B4" s="9" t="n">
        <v>15</v>
      </c>
      <c r="C4" s="10" t="s">
        <v>42</v>
      </c>
    </row>
    <row r="5" customFormat="false" ht="15" hidden="false" customHeight="false" outlineLevel="0" collapsed="false">
      <c r="A5" s="2" t="s">
        <v>43</v>
      </c>
      <c r="B5" s="9" t="n">
        <v>150.2</v>
      </c>
      <c r="C5" s="10" t="s">
        <v>44</v>
      </c>
    </row>
    <row r="6" customFormat="false" ht="15" hidden="false" customHeight="false" outlineLevel="0" collapsed="false">
      <c r="A6" s="2" t="s">
        <v>45</v>
      </c>
      <c r="B6" s="9" t="n">
        <v>287.7</v>
      </c>
      <c r="C6" s="10" t="s">
        <v>46</v>
      </c>
    </row>
    <row r="8" customFormat="false" ht="15" hidden="false" customHeight="false" outlineLevel="0" collapsed="false">
      <c r="A8" s="3" t="s">
        <v>47</v>
      </c>
    </row>
    <row r="9" customFormat="false" ht="45" hidden="false" customHeight="true" outlineLevel="0" collapsed="false">
      <c r="A9" s="5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  <c r="I9" s="5" t="s">
        <v>56</v>
      </c>
      <c r="J9" s="5" t="s">
        <v>57</v>
      </c>
      <c r="K9" s="5" t="s">
        <v>58</v>
      </c>
      <c r="L9" s="5" t="s">
        <v>59</v>
      </c>
    </row>
    <row r="10" customFormat="false" ht="15" hidden="false" customHeight="false" outlineLevel="0" collapsed="false">
      <c r="A10" s="7" t="s">
        <v>60</v>
      </c>
      <c r="B10" s="11" t="n">
        <v>120.3</v>
      </c>
      <c r="C10" s="12" t="n">
        <v>176.5</v>
      </c>
      <c r="D10" s="12" t="n">
        <v>353.1</v>
      </c>
      <c r="E10" s="11" t="n">
        <v>0</v>
      </c>
      <c r="F10" s="13" t="n">
        <f aca="false">MIN(ABS(B10-$B$5),360-ABS(B10-$B$5))</f>
        <v>29.9</v>
      </c>
      <c r="G10" s="13" t="n">
        <f aca="false">MOD(B10+180,360)</f>
        <v>300.3</v>
      </c>
      <c r="H10" s="13" t="n">
        <f aca="false">MOD($B$5+180,360)</f>
        <v>330.2</v>
      </c>
      <c r="I10" s="6" t="str">
        <f aca="false">IF(F10&lt;=$B$4,"Yes","No")</f>
        <v>No</v>
      </c>
      <c r="J10" s="6" t="str">
        <f aca="false">IF(C10&gt;=$B$6,"Yes","No")</f>
        <v>No</v>
      </c>
      <c r="K10" s="6" t="str">
        <f aca="false">IF(D10&gt;=$B$6,"Yes","No")</f>
        <v>Yes</v>
      </c>
      <c r="L10" s="6" t="str">
        <f aca="false">IF(AND(I10="Yes",K10="Yes"),"Yes","No")</f>
        <v>No</v>
      </c>
    </row>
    <row r="11" customFormat="false" ht="15" hidden="false" customHeight="false" outlineLevel="0" collapsed="false">
      <c r="A11" s="7" t="s">
        <v>61</v>
      </c>
      <c r="B11" s="11" t="n">
        <v>123.7</v>
      </c>
      <c r="C11" s="12" t="n">
        <v>134.4</v>
      </c>
      <c r="D11" s="12" t="n">
        <v>268.9</v>
      </c>
      <c r="E11" s="11" t="n">
        <v>0</v>
      </c>
      <c r="F11" s="13" t="n">
        <f aca="false">MIN(ABS(B11-$B$5),360-ABS(B11-$B$5))</f>
        <v>26.5</v>
      </c>
      <c r="G11" s="13" t="n">
        <f aca="false">MOD(B11+180,360)</f>
        <v>303.7</v>
      </c>
      <c r="H11" s="13" t="n">
        <f aca="false">MOD($B$5+180,360)</f>
        <v>330.2</v>
      </c>
      <c r="I11" s="6" t="str">
        <f aca="false">IF(F11&lt;=$B$4,"Yes","No")</f>
        <v>No</v>
      </c>
      <c r="J11" s="6" t="str">
        <f aca="false">IF(C11&gt;=$B$6,"Yes","No")</f>
        <v>No</v>
      </c>
      <c r="K11" s="6" t="str">
        <f aca="false">IF(D11&gt;=$B$6,"Yes","No")</f>
        <v>No</v>
      </c>
      <c r="L11" s="6" t="str">
        <f aca="false">IF(AND(I11="Yes",K11="Yes"),"Yes","No")</f>
        <v>No</v>
      </c>
    </row>
    <row r="12" customFormat="false" ht="15" hidden="false" customHeight="false" outlineLevel="0" collapsed="false">
      <c r="A12" s="7" t="s">
        <v>62</v>
      </c>
      <c r="B12" s="11" t="n">
        <v>121</v>
      </c>
      <c r="C12" s="12" t="n">
        <v>67.3</v>
      </c>
      <c r="D12" s="12" t="n">
        <v>134.6</v>
      </c>
      <c r="E12" s="11" t="n">
        <v>0</v>
      </c>
      <c r="F12" s="13" t="n">
        <f aca="false">MIN(ABS(B12-$B$5),360-ABS(B12-$B$5))</f>
        <v>29.2</v>
      </c>
      <c r="G12" s="13" t="n">
        <f aca="false">MOD(B12+180,360)</f>
        <v>301</v>
      </c>
      <c r="H12" s="13" t="n">
        <f aca="false">MOD($B$5+180,360)</f>
        <v>330.2</v>
      </c>
      <c r="I12" s="6" t="str">
        <f aca="false">IF(F12&lt;=$B$4,"Yes","No")</f>
        <v>No</v>
      </c>
      <c r="J12" s="6" t="str">
        <f aca="false">IF(C12&gt;=$B$6,"Yes","No")</f>
        <v>No</v>
      </c>
      <c r="K12" s="6" t="str">
        <f aca="false">IF(D12&gt;=$B$6,"Yes","No")</f>
        <v>No</v>
      </c>
      <c r="L12" s="6" t="str">
        <f aca="false">IF(AND(I12="Yes",K12="Yes"),"Yes","No")</f>
        <v>No</v>
      </c>
    </row>
    <row r="14" customFormat="false" ht="15" hidden="false" customHeight="false" outlineLevel="0" collapsed="false">
      <c r="A14" s="3" t="s">
        <v>63</v>
      </c>
    </row>
    <row r="15" customFormat="false" ht="27.75" hidden="false" customHeight="true" outlineLevel="0" collapsed="false">
      <c r="A15" s="14" t="s">
        <v>64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27.75" hidden="false" customHeight="true" outlineLevel="0" collapsed="false">
      <c r="A16" s="14" t="s">
        <v>65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27.75" hidden="false" customHeight="true" outlineLevel="0" collapsed="false">
      <c r="A17" s="14" t="s">
        <v>66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27.75" hidden="false" customHeight="true" outlineLevel="0" collapsed="false">
      <c r="A18" s="14" t="s">
        <v>67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27.75" hidden="false" customHeight="true" outlineLevel="0" collapsed="false">
      <c r="A19" s="14" t="s">
        <v>68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</sheetData>
  <mergeCells count="5">
    <mergeCell ref="A15:L15"/>
    <mergeCell ref="A16:L16"/>
    <mergeCell ref="A17:L17"/>
    <mergeCell ref="A18:L18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69</v>
      </c>
    </row>
    <row r="3" customFormat="false" ht="15" hidden="false" customHeight="false" outlineLevel="0" collapsed="false">
      <c r="A3" s="5" t="s">
        <v>70</v>
      </c>
      <c r="B3" s="5" t="s">
        <v>71</v>
      </c>
      <c r="C3" s="5" t="s">
        <v>72</v>
      </c>
    </row>
    <row r="4" customFormat="false" ht="15" hidden="false" customHeight="false" outlineLevel="0" collapsed="false">
      <c r="A4" s="7" t="s">
        <v>73</v>
      </c>
      <c r="B4" s="6" t="s">
        <v>74</v>
      </c>
      <c r="C4" s="7" t="s">
        <v>75</v>
      </c>
    </row>
    <row r="5" customFormat="false" ht="23.85" hidden="false" customHeight="false" outlineLevel="0" collapsed="false">
      <c r="A5" s="7" t="s">
        <v>76</v>
      </c>
      <c r="B5" s="6" t="s">
        <v>74</v>
      </c>
      <c r="C5" s="7" t="s">
        <v>77</v>
      </c>
    </row>
    <row r="6" customFormat="false" ht="15" hidden="false" customHeight="false" outlineLevel="0" collapsed="false">
      <c r="A6" s="7" t="s">
        <v>78</v>
      </c>
      <c r="B6" s="6" t="s">
        <v>74</v>
      </c>
      <c r="C6" s="7" t="s">
        <v>79</v>
      </c>
    </row>
    <row r="7" customFormat="false" ht="23.85" hidden="false" customHeight="false" outlineLevel="0" collapsed="false">
      <c r="A7" s="7" t="s">
        <v>80</v>
      </c>
      <c r="B7" s="6" t="s">
        <v>74</v>
      </c>
      <c r="C7" s="7" t="s">
        <v>81</v>
      </c>
    </row>
    <row r="8" customFormat="false" ht="15" hidden="false" customHeight="false" outlineLevel="0" collapsed="false">
      <c r="A8" s="7" t="s">
        <v>82</v>
      </c>
      <c r="B8" s="6" t="s">
        <v>74</v>
      </c>
      <c r="C8" s="7" t="s">
        <v>83</v>
      </c>
    </row>
    <row r="9" customFormat="false" ht="15" hidden="false" customHeight="false" outlineLevel="0" collapsed="false">
      <c r="A9" s="7" t="s">
        <v>84</v>
      </c>
      <c r="B9" s="6" t="s">
        <v>74</v>
      </c>
      <c r="C9" s="7" t="s">
        <v>85</v>
      </c>
    </row>
    <row r="10" customFormat="false" ht="15" hidden="false" customHeight="false" outlineLevel="0" collapsed="false">
      <c r="A10" s="7" t="s">
        <v>86</v>
      </c>
      <c r="B10" s="6" t="s">
        <v>87</v>
      </c>
      <c r="C10" s="7" t="s">
        <v>88</v>
      </c>
    </row>
    <row r="11" customFormat="false" ht="15" hidden="false" customHeight="false" outlineLevel="0" collapsed="false">
      <c r="A11" s="7" t="s">
        <v>89</v>
      </c>
      <c r="B11" s="6" t="s">
        <v>90</v>
      </c>
      <c r="C11" s="7" t="s">
        <v>91</v>
      </c>
    </row>
    <row r="12" customFormat="false" ht="15" hidden="false" customHeight="false" outlineLevel="0" collapsed="false">
      <c r="A12" s="7" t="s">
        <v>92</v>
      </c>
      <c r="B12" s="6" t="s">
        <v>90</v>
      </c>
      <c r="C12" s="7" t="s">
        <v>93</v>
      </c>
    </row>
    <row r="13" customFormat="false" ht="15" hidden="false" customHeight="false" outlineLevel="0" collapsed="false">
      <c r="A13" s="7" t="s">
        <v>94</v>
      </c>
      <c r="B13" s="6" t="s">
        <v>90</v>
      </c>
      <c r="C13" s="7" t="s">
        <v>95</v>
      </c>
    </row>
    <row r="15" customFormat="false" ht="15" hidden="false" customHeight="false" outlineLevel="0" collapsed="false">
      <c r="A15" s="3" t="s">
        <v>74</v>
      </c>
      <c r="B15" s="4" t="n">
        <f aca="false">COUNTIF(B4:B13,"Confirmed")</f>
        <v>6</v>
      </c>
    </row>
    <row r="16" customFormat="false" ht="15" hidden="false" customHeight="false" outlineLevel="0" collapsed="false">
      <c r="A16" s="3" t="s">
        <v>87</v>
      </c>
      <c r="B16" s="4" t="n">
        <f aca="false">COUNTIF(B4:B13,"Needs change")</f>
        <v>1</v>
      </c>
    </row>
    <row r="17" customFormat="false" ht="15" hidden="false" customHeight="false" outlineLevel="0" collapsed="false">
      <c r="A17" s="3" t="s">
        <v>90</v>
      </c>
      <c r="B17" s="4" t="n">
        <f aca="false">COUNTIF(B4:B13,"Not verified")</f>
        <v>3</v>
      </c>
    </row>
  </sheetData>
  <conditionalFormatting sqref="B4:B13">
    <cfRule type="cellIs" priority="2" operator="equal" aboveAverage="0" equalAverage="0" bottom="0" percent="0" rank="0" text="" dxfId="0">
      <formula>"Confirmed"</formula>
    </cfRule>
    <cfRule type="cellIs" priority="3" operator="equal" aboveAverage="0" equalAverage="0" bottom="0" percent="0" rank="0" text="" dxfId="1">
      <formula>"Needs change"</formula>
    </cfRule>
    <cfRule type="cellIs" priority="4" operator="equal" aboveAverage="0" equalAverage="0" bottom="0" percent="0" rank="0" text="" dxfId="2">
      <formula>"Not verified"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2026-10-10T00:24:53Z</dcterms:created>
  <dc:creator>openpyxl</dc:creator>
  <dc:description/>
  <dc:language>en-US</dc:language>
  <cp:lastModifiedBy/>
  <dcterms:modified xsi:type="dcterms:W3CDTF">2026-10-10T00:24:54Z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