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ction Items" sheetId="1" state="visible" r:id="rId1"/>
    <sheet xmlns:r="http://schemas.openxmlformats.org/officeDocument/2006/relationships" name="Cone Coverage" sheetId="2" state="visible" r:id="rId2"/>
    <sheet xmlns:r="http://schemas.openxmlformats.org/officeDocument/2006/relationships" name="Verified Change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top" wrapText="1"/>
    </xf>
    <xf numFmtId="0" fontId="8" fillId="3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top" wrapText="1"/>
    </xf>
    <xf numFmtId="0" fontId="8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5" min="1" max="1"/>
    <col width="18" customWidth="1" style="15" min="2" max="2"/>
    <col width="48" customWidth="1" style="15" min="3" max="3"/>
    <col width="40" customWidth="1" style="15" min="4" max="4"/>
    <col width="52" customWidth="1" style="15" min="5" max="5"/>
    <col width="24" customWidth="1" style="15" min="6" max="6"/>
    <col width="14" customWidth="1" style="15" min="7" max="7"/>
    <col width="13" customWidth="1" style="15" min="8" max="8"/>
  </cols>
  <sheetData>
    <row r="1" ht="17.35" customHeight="1" s="16">
      <c r="A1" s="17" t="inlineStr">
        <is>
          <t>VayuSync review: prioritized action items</t>
        </is>
      </c>
    </row>
    <row r="2" ht="15" customHeight="1" s="16">
      <c r="A2" s="18" t="inlineStr">
        <is>
          <t>Source: review of repo commit 65efe8a (Oct 10, 2026). Yellow cells (Owner, Status) are for you to edit.</t>
        </is>
      </c>
    </row>
    <row r="4" ht="15" customHeight="1" s="16">
      <c r="A4" s="19" t="inlineStr">
        <is>
          <t>Total items</t>
        </is>
      </c>
      <c r="B4" s="20">
        <f>COUNTA(A9:A13)</f>
        <v/>
      </c>
    </row>
    <row r="5" ht="15" customHeight="1" s="16">
      <c r="A5" s="19" t="inlineStr">
        <is>
          <t>Open</t>
        </is>
      </c>
      <c r="B5" s="20">
        <f>COUNTIF(H9:H13,"Open")</f>
        <v/>
      </c>
    </row>
    <row r="6" ht="15" customHeight="1" s="16">
      <c r="A6" s="19" t="inlineStr">
        <is>
          <t>In progress</t>
        </is>
      </c>
      <c r="B6" s="20">
        <f>COUNTIF(H9:H13,"In progress")</f>
        <v/>
      </c>
    </row>
    <row r="7" ht="15" customHeight="1" s="16">
      <c r="A7" s="19" t="inlineStr">
        <is>
          <t>Done</t>
        </is>
      </c>
      <c r="B7" s="20">
        <f>COUNTIF(H9:H13,"Done")</f>
        <v/>
      </c>
    </row>
    <row r="8" ht="30" customHeight="1" s="16">
      <c r="A8" s="21" t="inlineStr">
        <is>
          <t>Rank</t>
        </is>
      </c>
      <c r="B8" s="21" t="inlineStr">
        <is>
          <t>Area</t>
        </is>
      </c>
      <c r="C8" s="21" t="inlineStr">
        <is>
          <t>Finding</t>
        </is>
      </c>
      <c r="D8" s="21" t="inlineStr">
        <is>
          <t>Evidence</t>
        </is>
      </c>
      <c r="E8" s="21" t="inlineStr">
        <is>
          <t>Recommended action</t>
        </is>
      </c>
      <c r="F8" s="21" t="inlineStr">
        <is>
          <t>Verified how</t>
        </is>
      </c>
      <c r="G8" s="21" t="inlineStr">
        <is>
          <t>Owner</t>
        </is>
      </c>
      <c r="H8" s="21" t="inlineStr">
        <is>
          <t>Status</t>
        </is>
      </c>
    </row>
    <row r="9" ht="150" customHeight="1" s="16">
      <c r="A9" s="22" t="n">
        <v>1</v>
      </c>
      <c r="B9" s="23" t="inlineStr">
        <is>
          <t>Demo behaviour</t>
        </is>
      </c>
      <c r="C9" s="23" t="inlineStr">
        <is>
          <t>Flagship /simulate demo returns no alerts: all three simulator presets send smoke toward 120-124 deg, but Delhi is at about 150-153 deg from Ludhiana. With a 15 deg half-angle the cone misses every institution, even the 12 h cone.</t>
        </is>
      </c>
      <c r="D9" s="23" t="inlineStr">
        <is>
          <t>Ran the three presets through the fixed geo_utils: 0 of 8 institutions in the cone for 6 h and 12 h (see 'Cone Coverage' sheet). Your own diagnostics also saw an empty alert array in 234 ms.</t>
        </is>
      </c>
      <c r="E9" s="23" t="inlineStr">
        <is>
          <t>Make a Haryana hotspot (Karnal/Panipat, about 100-120 km from Delhi) the headline demo with a NNW wind (~350 deg). Keep Punjab as the extended-range story with a NNW wind (~330 deg). Make the evaluator check the 12 h cone too (it only reads cone_geojson_6h). Check what a judge actually sees after clicking Simulate.</t>
        </is>
      </c>
      <c r="F9" s="23" t="inlineStr">
        <is>
          <t>Reproduced locally with repo code</t>
        </is>
      </c>
      <c r="G9" s="24" t="inlineStr">
        <is>
          <t>Engineering</t>
        </is>
      </c>
      <c r="H9" s="24" t="inlineStr">
        <is>
          <t>Done</t>
        </is>
      </c>
    </row>
    <row r="10" ht="150" customHeight="1" s="16">
      <c r="A10" s="22" t="n">
        <v>2</v>
      </c>
      <c r="B10" s="23" t="inlineStr">
        <is>
          <t>Bedrock / AI claim</t>
        </is>
      </c>
      <c r="C10" s="23" t="inlineStr">
        <is>
          <t>Bedrock is not live right now: AccessDenied ('account being verified'), so hosted advice is rule-based. README row 77 still says 'Live Bedrock Invocation'.</t>
        </is>
      </c>
      <c r="D10" s="23" t="inlineStr">
        <is>
          <t>AccessDeniedException reported from CloudWatch (your report); advisory_source field exists in evaluator code; README line 77 unchanged.</t>
        </is>
      </c>
      <c r="E10" s="23" t="inlineStr">
        <is>
          <t>Reword the README until a real /simulate record shows advisory_source = 'bedrock'. When verification completes, confirm model access is enabled and Claude 3 Haiku is still available in ap-south-1.</t>
        </is>
      </c>
      <c r="F10" s="23" t="inlineStr">
        <is>
          <t>Code + README read; AccessDenied taken from your report</t>
        </is>
      </c>
      <c r="G10" s="24" t="inlineStr">
        <is>
          <t>Engineering</t>
        </is>
      </c>
      <c r="H10" s="24" t="inlineStr">
        <is>
          <t>Done</t>
        </is>
      </c>
    </row>
    <row r="11" ht="150" customHeight="1" s="16">
      <c r="A11" s="22" t="n">
        <v>3</v>
      </c>
      <c r="B11" s="23" t="inlineStr">
        <is>
          <t>Frontend honesty</t>
        </is>
      </c>
      <c r="C11" s="23" t="inlineStr">
        <is>
          <t>The UI can show mock numbers next to live ones: api.ts fills missing dashboard fields from MOCK_DASHBOARD using '??' (lead time, latency, cost, alert counts).</t>
        </is>
      </c>
      <c r="D11" s="23" t="inlineStr">
        <is>
          <t>grep of frontend/src/utils/api.ts only; not tested in a browser.</t>
        </is>
      </c>
      <c r="E11" s="23" t="inlineStr">
        <is>
          <t>Show a dash or a visible 'demo data' badge for any field that falls back to mock values.</t>
        </is>
      </c>
      <c r="F11" s="23" t="inlineStr">
        <is>
          <t>grep only (not browser-tested)</t>
        </is>
      </c>
      <c r="G11" s="24" t="inlineStr">
        <is>
          <t>Engineering</t>
        </is>
      </c>
      <c r="H11" s="24" t="inlineStr">
        <is>
          <t>Done</t>
        </is>
      </c>
    </row>
    <row r="12" ht="150" customHeight="1" s="16">
      <c r="A12" s="22" t="n">
        <v>4</v>
      </c>
      <c r="B12" s="23" t="inlineStr">
        <is>
          <t>CI / testing</t>
        </is>
      </c>
      <c r="C12" s="23" t="inlineStr">
        <is>
          <t>A missing 'import math' in the evaluator (introduced in cbef7bd) shipped in Lambda Version 1 and was hidden by a generic exception handler. The 34 tests did not catch it.</t>
        </is>
      </c>
      <c r="D12" s="23" t="inlineStr">
        <is>
          <t>Reported in your diagnostics; import now present at line 34 of evaluator_engine/handler.py.</t>
        </is>
      </c>
      <c r="E12" s="23" t="inlineStr">
        <is>
          <t>Add a smoke test that imports every Lambda handler with boto3 stubbed, so a missing import fails CI.</t>
        </is>
      </c>
      <c r="F12" s="23" t="inlineStr">
        <is>
          <t>Code read</t>
        </is>
      </c>
      <c r="G12" s="24" t="inlineStr">
        <is>
          <t>Engineering</t>
        </is>
      </c>
      <c r="H12" s="24" t="inlineStr">
        <is>
          <t>Done</t>
        </is>
      </c>
    </row>
    <row r="13" ht="150" customHeight="1" s="16">
      <c r="A13" s="22" t="n">
        <v>5</v>
      </c>
      <c r="B13" s="23" t="inlineStr">
        <is>
          <t>Validation</t>
        </is>
      </c>
      <c r="C13" s="23" t="inlineStr">
        <is>
          <t>No real back-test has been run yet. The self-test uses synthetic data and is not validation.</t>
        </is>
      </c>
      <c r="D13" s="23" t="inlineStr">
        <is>
          <t>backend/scripts/backtest.py self-test passes; sandbox cannot reach FIRMS, Open-Meteo or CPCB.</t>
        </is>
      </c>
      <c r="E13" s="23" t="inlineStr">
        <is>
          <t>Run backtest.py on your machine for one real event, commit backtest_results.csv, and share the raw JSON output for a sanity check.</t>
        </is>
      </c>
      <c r="F13" s="23" t="inlineStr">
        <is>
          <t>Self-test run; real run not possible here</t>
        </is>
      </c>
      <c r="G13" s="24" t="inlineStr">
        <is>
          <t>Engineering</t>
        </is>
      </c>
      <c r="H13" s="24" t="inlineStr">
        <is>
          <t>In progress</t>
        </is>
      </c>
    </row>
  </sheetData>
  <conditionalFormatting sqref="H9:H13">
    <cfRule type="cellIs" rank="0" priority="2" equalAverage="0" operator="equal" aboveAverage="0" dxfId="0" text="" percent="0" bottom="0">
      <formula>"Done"</formula>
    </cfRule>
  </conditionalFormatting>
  <dataValidations count="1">
    <dataValidation sqref="H9:H13" showDropDown="0" showInputMessage="0" showErrorMessage="0" allowBlank="0" type="list" errorStyle="stop" operator="between">
      <formula1>"Open,In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5" min="1" max="1"/>
    <col width="15" customWidth="1" style="15" min="2" max="12"/>
  </cols>
  <sheetData>
    <row r="1" ht="17.35" customHeight="1" s="16">
      <c r="A1" s="17" t="inlineStr">
        <is>
          <t>Do the simulator presets reach Delhi? (Ludhiana hotspot)</t>
        </is>
      </c>
    </row>
    <row r="3" ht="15" customHeight="1" s="16">
      <c r="A3" s="19" t="inlineStr">
        <is>
          <t>Inputs (blue = hardcoded; edit to test other targets)</t>
        </is>
      </c>
    </row>
    <row r="4" ht="15" customHeight="1" s="16">
      <c r="A4" s="18" t="inlineStr">
        <is>
          <t>Cone half-angle (deg)</t>
        </is>
      </c>
      <c r="B4" s="25" t="n">
        <v>15</v>
      </c>
      <c r="C4" s="18" t="inlineStr">
        <is>
          <t>geo_utils.py DEFAULT_CONE_HALF_ANGLE_DEG</t>
        </is>
      </c>
    </row>
    <row r="5" ht="15" customHeight="1" s="16">
      <c r="A5" s="18" t="inlineStr">
        <is>
          <t>Bearing Ludhiana to Anand Vihar (deg)</t>
        </is>
      </c>
      <c r="B5" s="25" t="n">
        <v>150.2</v>
      </c>
      <c r="C5" s="18" t="inlineStr">
        <is>
          <t>Computed with the haversine bearing formula; Ludhiana (30.9, 75.85), station (28.6476, 77.3158, approximate). AIIMS Delhi gives 152.8</t>
        </is>
      </c>
    </row>
    <row r="6" ht="15" customHeight="1" s="16">
      <c r="A6" s="18" t="inlineStr">
        <is>
          <t>Distance Ludhiana to Anand Vihar (km)</t>
        </is>
      </c>
      <c r="B6" s="25" t="n">
        <v>287.7</v>
      </c>
      <c r="C6" s="18" t="inlineStr">
        <is>
          <t>Computed with geo_utils.haversine_distance</t>
        </is>
      </c>
    </row>
    <row r="8" ht="15" customHeight="1" s="16">
      <c r="A8" s="19" t="inlineStr">
        <is>
          <t>Preset results</t>
        </is>
      </c>
    </row>
    <row r="9" ht="45" customHeight="1" s="16">
      <c r="A9" s="21" t="inlineStr">
        <is>
          <t>Preset</t>
        </is>
      </c>
      <c r="B9" s="21" t="inlineStr">
        <is>
          <t>Smoke heads toward (deg)</t>
        </is>
      </c>
      <c r="C9" s="21" t="inlineStr">
        <is>
          <t>6 h reach (km)</t>
        </is>
      </c>
      <c r="D9" s="21" t="inlineStr">
        <is>
          <t>12 h reach (km)</t>
        </is>
      </c>
      <c r="E9" s="21" t="inlineStr">
        <is>
          <t>Institutions in cone (of 8)</t>
        </is>
      </c>
      <c r="F9" s="21" t="inlineStr">
        <is>
          <t>Miss angle (deg)</t>
        </is>
      </c>
      <c r="G9" s="21" t="inlineStr">
        <is>
          <t>Preset wind blows from (deg)</t>
        </is>
      </c>
      <c r="H9" s="21" t="inlineStr">
        <is>
          <t>Wind would need to blow from (deg)</t>
        </is>
      </c>
      <c r="I9" s="21" t="inlineStr">
        <is>
          <t>Within cone angle?</t>
        </is>
      </c>
      <c r="J9" s="21" t="inlineStr">
        <is>
          <t>Reaches Delhi at 6 h?</t>
        </is>
      </c>
      <c r="K9" s="21" t="inlineStr">
        <is>
          <t>Reaches Delhi at 12 h?</t>
        </is>
      </c>
      <c r="L9" s="21" t="inlineStr">
        <is>
          <t>Covers target at 12 h?</t>
        </is>
      </c>
    </row>
    <row r="10" ht="15" customHeight="1" s="16">
      <c r="A10" s="23" t="inlineStr">
        <is>
          <t>worst_case</t>
        </is>
      </c>
      <c r="B10" s="26" t="n">
        <v>120.3</v>
      </c>
      <c r="C10" s="27" t="n">
        <v>176.5</v>
      </c>
      <c r="D10" s="27" t="n">
        <v>353.1</v>
      </c>
      <c r="E10" s="26" t="n">
        <v>0</v>
      </c>
      <c r="F10" s="28">
        <f>MIN(ABS(B10-$B$5),360-ABS(B10-$B$5))</f>
        <v/>
      </c>
      <c r="G10" s="28">
        <f>MOD(B10+180,360)</f>
        <v/>
      </c>
      <c r="H10" s="28">
        <f>MOD($B$5+180,360)</f>
        <v/>
      </c>
      <c r="I10" s="22">
        <f>IF(F10&lt;=$B$4,"Yes","No")</f>
        <v/>
      </c>
      <c r="J10" s="22">
        <f>IF(C10&gt;=$B$6,"Yes","No")</f>
        <v/>
      </c>
      <c r="K10" s="22">
        <f>IF(D10&gt;=$B$6,"Yes","No")</f>
        <v/>
      </c>
      <c r="L10" s="22">
        <f>IF(AND(I10="Yes",K10="Yes"),"Yes","No")</f>
        <v/>
      </c>
    </row>
    <row r="11" ht="15" customHeight="1" s="16">
      <c r="A11" s="23" t="inlineStr">
        <is>
          <t>moderate</t>
        </is>
      </c>
      <c r="B11" s="26" t="n">
        <v>123.7</v>
      </c>
      <c r="C11" s="27" t="n">
        <v>134.4</v>
      </c>
      <c r="D11" s="27" t="n">
        <v>268.9</v>
      </c>
      <c r="E11" s="26" t="n">
        <v>0</v>
      </c>
      <c r="F11" s="28">
        <f>MIN(ABS(B11-$B$5),360-ABS(B11-$B$5))</f>
        <v/>
      </c>
      <c r="G11" s="28">
        <f>MOD(B11+180,360)</f>
        <v/>
      </c>
      <c r="H11" s="28">
        <f>MOD($B$5+180,360)</f>
        <v/>
      </c>
      <c r="I11" s="22">
        <f>IF(F11&lt;=$B$4,"Yes","No")</f>
        <v/>
      </c>
      <c r="J11" s="22">
        <f>IF(C11&gt;=$B$6,"Yes","No")</f>
        <v/>
      </c>
      <c r="K11" s="22">
        <f>IF(D11&gt;=$B$6,"Yes","No")</f>
        <v/>
      </c>
      <c r="L11" s="22">
        <f>IF(AND(I11="Yes",K11="Yes"),"Yes","No")</f>
        <v/>
      </c>
    </row>
    <row r="12" ht="15" customHeight="1" s="16">
      <c r="A12" s="23" t="inlineStr">
        <is>
          <t>light</t>
        </is>
      </c>
      <c r="B12" s="26" t="n">
        <v>121</v>
      </c>
      <c r="C12" s="27" t="n">
        <v>67.3</v>
      </c>
      <c r="D12" s="27" t="n">
        <v>134.6</v>
      </c>
      <c r="E12" s="26" t="n">
        <v>0</v>
      </c>
      <c r="F12" s="28">
        <f>MIN(ABS(B12-$B$5),360-ABS(B12-$B$5))</f>
        <v/>
      </c>
      <c r="G12" s="28">
        <f>MOD(B12+180,360)</f>
        <v/>
      </c>
      <c r="H12" s="28">
        <f>MOD($B$5+180,360)</f>
        <v/>
      </c>
      <c r="I12" s="22">
        <f>IF(F12&lt;=$B$4,"Yes","No")</f>
        <v/>
      </c>
      <c r="J12" s="22">
        <f>IF(C12&gt;=$B$6,"Yes","No")</f>
        <v/>
      </c>
      <c r="K12" s="22">
        <f>IF(D12&gt;=$B$6,"Yes","No")</f>
        <v/>
      </c>
      <c r="L12" s="22">
        <f>IF(AND(I12="Yes",K12="Yes"),"Yes","No")</f>
        <v/>
      </c>
    </row>
    <row r="14" ht="15" customHeight="1" s="16">
      <c r="A14" s="19" t="inlineStr">
        <is>
          <t>Notes</t>
        </is>
      </c>
    </row>
    <row r="15" ht="27.75" customHeight="1" s="16">
      <c r="A15" s="29" t="inlineStr">
        <is>
          <t>Reach and bearing values were produced by running the simulator presets (u, v from simulate_trigger/handler.py) through the fixed calculate_trajectory_cone at commit 65efe8a.</t>
        </is>
      </c>
    </row>
    <row r="16" ht="27.75" customHeight="1" s="16">
      <c r="A16" s="29" t="inlineStr">
        <is>
          <t>Assumption: fire power set to the middle of each preset's range (worst_case 1,250 MW; moderate 950 MW; light 600 MW), which affects reach slightly through the buoyancy factor.</t>
        </is>
      </c>
    </row>
    <row r="17" ht="27.75" customHeight="1" s="16">
      <c r="A17" s="29" t="inlineStr">
        <is>
          <t>'Institutions in cone' is the count from the script run against the 8 mock institutions in mock_data.py; it is not recalculated here.</t>
        </is>
      </c>
    </row>
    <row r="18" ht="27.75" customHeight="1" s="16">
      <c r="A18" s="29" t="inlineStr">
        <is>
          <t>Miss angle is the smaller angle between the preset's bearing and the bearing to Delhi; a target is inside the cone only if this is at most the half-angle AND the cone reaches its distance.</t>
        </is>
      </c>
    </row>
    <row r="19" ht="27.75" customHeight="1" s="16">
      <c r="A19" s="29" t="inlineStr">
        <is>
          <t>Demo wind direction in meteorological terms is where the wind blows FROM; smoke heads toward the opposite direction (add 180).</t>
        </is>
      </c>
    </row>
  </sheetData>
  <mergeCells count="5">
    <mergeCell ref="A16:L16"/>
    <mergeCell ref="A15:L15"/>
    <mergeCell ref="A19:L19"/>
    <mergeCell ref="A17:L17"/>
    <mergeCell ref="A18:L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15" min="1" max="1"/>
    <col width="16" customWidth="1" style="15" min="2" max="2"/>
    <col width="70" customWidth="1" style="15" min="3" max="3"/>
  </cols>
  <sheetData>
    <row r="1" ht="17.35" customHeight="1" s="16">
      <c r="A1" s="17" t="inlineStr">
        <is>
          <t>What I checked in commit 65efe8a</t>
        </is>
      </c>
    </row>
    <row r="3" ht="15" customHeight="1" s="16">
      <c r="A3" s="21" t="inlineStr">
        <is>
          <t>Item</t>
        </is>
      </c>
      <c r="B3" s="21" t="inlineStr">
        <is>
          <t>Result</t>
        </is>
      </c>
      <c r="C3" s="21" t="inlineStr">
        <is>
          <t>Detail</t>
        </is>
      </c>
    </row>
    <row r="4" ht="15" customHeight="1" s="16">
      <c r="A4" s="23" t="inlineStr">
        <is>
          <t>import math in evaluator_engine/handler.py</t>
        </is>
      </c>
      <c r="B4" s="22" t="inlineStr">
        <is>
          <t>Confirmed</t>
        </is>
      </c>
      <c r="C4" s="23" t="inlineStr">
        <is>
          <t>Present at line 34.</t>
        </is>
      </c>
    </row>
    <row r="5" ht="23.85" customHeight="1" s="16">
      <c r="A5" s="23" t="inlineStr">
        <is>
          <t>advisory_source field (bedrock / rule_fallback)</t>
        </is>
      </c>
      <c r="B5" s="22" t="inlineStr">
        <is>
          <t>Confirmed</t>
        </is>
      </c>
      <c r="C5" s="23" t="inlineStr">
        <is>
          <t>Set in the evaluator; bedrock_model is 'rule_fallback' unless Bedrock actually answered.</t>
        </is>
      </c>
    </row>
    <row r="6" ht="15" customHeight="1" s="16">
      <c r="A6" s="23" t="inlineStr">
        <is>
          <t>Unit tests (test_pipeline.py)</t>
        </is>
      </c>
      <c r="B6" s="22" t="inlineStr">
        <is>
          <t>Confirmed</t>
        </is>
      </c>
      <c r="C6" s="23" t="inlineStr">
        <is>
          <t>34 tests run, 2 skipped, 0 failures in my sandbox.</t>
        </is>
      </c>
    </row>
    <row r="7" ht="23.85" customHeight="1" s="16">
      <c r="A7" s="23" t="inlineStr">
        <is>
          <t>backtest.py self-test</t>
        </is>
      </c>
      <c r="B7" s="22" t="inlineStr">
        <is>
          <t>Confirmed</t>
        </is>
      </c>
      <c r="C7" s="23" t="inlineStr">
        <is>
          <t>Passes, including the NW-wind bearing check (135 deg). Synthetic data, not validation.</t>
        </is>
      </c>
    </row>
    <row r="8" ht="15" customHeight="1" s="16">
      <c r="A8" s="23" t="inlineStr">
        <is>
          <t>geo_utils sign fix across all six copies</t>
        </is>
      </c>
      <c r="B8" s="22" t="inlineStr">
        <is>
          <t>Confirmed</t>
        </is>
      </c>
      <c r="C8" s="23" t="inlineStr">
        <is>
          <t>All use atan2(u_wind, v_wind) as of cbef7bd.</t>
        </is>
      </c>
    </row>
    <row r="9" ht="15" customHeight="1" s="16">
      <c r="A9" s="23" t="inlineStr">
        <is>
          <t>README link to backtest.py</t>
        </is>
      </c>
      <c r="B9" s="22" t="inlineStr">
        <is>
          <t>Confirmed</t>
        </is>
      </c>
      <c r="C9" s="23" t="inlineStr">
        <is>
          <t>Now a relative path.</t>
        </is>
      </c>
    </row>
    <row r="10" ht="15" customHeight="1" s="16">
      <c r="A10" s="23" t="inlineStr">
        <is>
          <t>README row 77 'Live Bedrock Invocation'</t>
        </is>
      </c>
      <c r="B10" s="22" t="inlineStr">
        <is>
          <t>Confirmed</t>
        </is>
      </c>
      <c r="C10" s="23" t="inlineStr">
        <is>
          <t>Updated in commit 359f8e0 to 'Hybrid AI / Rule Engine' with per-alert advisory_source transparency.</t>
        </is>
      </c>
    </row>
    <row r="11" ht="15" customHeight="1" s="16">
      <c r="A11" s="23" t="inlineStr">
        <is>
          <t>API Gateway throttling (5 req/s, burst 10)</t>
        </is>
      </c>
      <c r="B11" s="22" t="inlineStr">
        <is>
          <t>Not verified</t>
        </is>
      </c>
      <c r="C11" s="23" t="inlineStr">
        <is>
          <t>I cannot see your AWS account settings.</t>
        </is>
      </c>
    </row>
    <row r="12" ht="15" customHeight="1" s="16">
      <c r="A12" s="23" t="inlineStr">
        <is>
          <t>Lambda redeployments and live /simulate calls</t>
        </is>
      </c>
      <c r="B12" s="22" t="inlineStr">
        <is>
          <t>Not verified</t>
        </is>
      </c>
      <c r="C12" s="23" t="inlineStr">
        <is>
          <t>I cannot reach your AWS account; figures come from your report.</t>
        </is>
      </c>
    </row>
    <row r="13" ht="15" customHeight="1" s="16">
      <c r="A13" s="23" t="inlineStr">
        <is>
          <t>Latency figures (1,127-2,400 ms; 234 ms)</t>
        </is>
      </c>
      <c r="B13" s="22" t="inlineStr">
        <is>
          <t>Not verified</t>
        </is>
      </c>
      <c r="C13" s="23" t="inlineStr">
        <is>
          <t>Need a CloudWatch Logs Insights query with N and p95.</t>
        </is>
      </c>
    </row>
    <row r="15" ht="15" customHeight="1" s="16">
      <c r="A15" s="19" t="inlineStr">
        <is>
          <t>Confirmed</t>
        </is>
      </c>
      <c r="B15" s="20">
        <f>COUNTIF(B4:B13,"Confirmed")</f>
        <v/>
      </c>
    </row>
    <row r="16" ht="15" customHeight="1" s="16">
      <c r="A16" s="19" t="inlineStr">
        <is>
          <t>Needs change</t>
        </is>
      </c>
      <c r="B16" s="20">
        <f>COUNTIF(B4:B13,"Needs change")</f>
        <v/>
      </c>
    </row>
    <row r="17" ht="15" customHeight="1" s="16">
      <c r="A17" s="19" t="inlineStr">
        <is>
          <t>Not verified</t>
        </is>
      </c>
      <c r="B17" s="20">
        <f>COUNTIF(B4:B13,"Not verified")</f>
        <v/>
      </c>
    </row>
  </sheetData>
  <conditionalFormatting sqref="B4:B13">
    <cfRule type="cellIs" rank="0" priority="2" equalAverage="0" operator="equal" aboveAverage="0" dxfId="0" text="" percent="0" bottom="0">
      <formula>"Confirmed"</formula>
    </cfRule>
    <cfRule type="cellIs" rank="0" priority="3" equalAverage="0" operator="equal" aboveAverage="0" dxfId="1" text="" percent="0" bottom="0">
      <formula>"Needs change"</formula>
    </cfRule>
    <cfRule type="cellIs" rank="0" priority="4" equalAverage="0" operator="equal" aboveAverage="0" dxfId="2" text="" percent="0" bottom="0">
      <formula>"Not verified"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2026-10-10T00:24:53Z</dcterms:created>
  <dcterms:modified xmlns:dcterms="http://purl.org/dc/terms/" xmlns:xsi="http://www.w3.org/2001/XMLSchema-instance" xsi:type="dcterms:W3CDTF">2026-10-10T00:35:38Z</dcterms:modified>
  <cp:revision>0</cp:revision>
</cp:coreProperties>
</file>